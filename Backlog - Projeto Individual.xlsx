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420E306-1639-4E45-8472-74791150D9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Planilha1!$B$1:$M$1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M5" i="1"/>
  <c r="L3" i="1"/>
  <c r="L4" i="1"/>
  <c r="L2" i="1"/>
  <c r="L5" i="1" s="1"/>
</calcChain>
</file>

<file path=xl/sharedStrings.xml><?xml version="1.0" encoding="utf-8"?>
<sst xmlns="http://schemas.openxmlformats.org/spreadsheetml/2006/main" count="100" uniqueCount="55">
  <si>
    <t>REQUISITOS</t>
  </si>
  <si>
    <t>DESCRIÇÃO</t>
  </si>
  <si>
    <t>CLASSIFICAÇÃO</t>
  </si>
  <si>
    <t>TAMANHO</t>
  </si>
  <si>
    <t>Tam(#)</t>
  </si>
  <si>
    <t>PRIORIDADE</t>
  </si>
  <si>
    <t>SPRINT</t>
  </si>
  <si>
    <t>FINALIZADO</t>
  </si>
  <si>
    <t>PLANEJADO</t>
  </si>
  <si>
    <t>ENTREGUE</t>
  </si>
  <si>
    <t>Backlog</t>
  </si>
  <si>
    <t>Listas Requisitos e seus detalhes</t>
  </si>
  <si>
    <t>Essencial</t>
  </si>
  <si>
    <t>P</t>
  </si>
  <si>
    <t>Sprint 1</t>
  </si>
  <si>
    <t>Protótipo do Site</t>
  </si>
  <si>
    <t>Prototipar o site utilizando a ferramenta Figma</t>
  </si>
  <si>
    <t>M</t>
  </si>
  <si>
    <t>Sprint 2</t>
  </si>
  <si>
    <t>Documentação</t>
  </si>
  <si>
    <t>Escrever documentação com contextualização clara e escopo bem delimitado.</t>
  </si>
  <si>
    <t>G</t>
  </si>
  <si>
    <t>Sprint 3</t>
  </si>
  <si>
    <t>Configurar Trello</t>
  </si>
  <si>
    <t>Configurar Trello para acompanhamento do desenvolvimento.</t>
  </si>
  <si>
    <t>Total</t>
  </si>
  <si>
    <t>Criar repositório no GitHub</t>
  </si>
  <si>
    <t>Criar repositório para versionamento.</t>
  </si>
  <si>
    <t>Modelagem de Dados</t>
  </si>
  <si>
    <t>Desenvolver modelagem das tabelas, conforme o modelo de negócio.</t>
  </si>
  <si>
    <t>GG</t>
  </si>
  <si>
    <t xml:space="preserve">Script de Dados </t>
  </si>
  <si>
    <t>Realizar o script via MySQL seguindo o modelo de negócios.</t>
  </si>
  <si>
    <t>Desenvolvimento do Site - Index</t>
  </si>
  <si>
    <t>Desenvolvimento do Index com HTML e JS.</t>
  </si>
  <si>
    <t>Desenvolvimento do Site - Login</t>
  </si>
  <si>
    <t>Desenvolvimento do Login com HTML e JS.</t>
  </si>
  <si>
    <t>Desenvolvimento do Site - Cadastro</t>
  </si>
  <si>
    <t>Desenvolvimento do Cadastro com HTML e JS.</t>
  </si>
  <si>
    <t>Desenvolvimento do Site - Sobre Mim</t>
  </si>
  <si>
    <t>Desenvolvimento do Sobre Mim com HTML e JS.</t>
  </si>
  <si>
    <t>Desenvolvimento do Site - Dashboard e KPIs</t>
  </si>
  <si>
    <t>Desenvolvimento da Dashboard com HTML, JS, API Web Data Viz  e CharJS.</t>
  </si>
  <si>
    <t>Desenvolvimento do Site - Fórum</t>
  </si>
  <si>
    <t>Desenvolvimento da sessão de Fórum, com integração ao banco de dados (?).</t>
  </si>
  <si>
    <t>Desejável</t>
  </si>
  <si>
    <t>Estilização do Site</t>
  </si>
  <si>
    <t>Utilização de CSS para estilizar os dados.</t>
  </si>
  <si>
    <t>Importante</t>
  </si>
  <si>
    <t>Hospedagem de Site na VM</t>
  </si>
  <si>
    <t>Hospedagem dos arquivos do site em Máquina Virtual, utilizando a Oracle VirtualBox.</t>
  </si>
  <si>
    <t>Hospedagem de Banco de Dados na VM</t>
  </si>
  <si>
    <t>Hospedagem do Banco de Dados em Máquina Virtual, utilizando a Oracle VirtualBox.</t>
  </si>
  <si>
    <t>Configurar API Web Data Viz</t>
  </si>
  <si>
    <t>Configurar a API para conectar o Banco de Dados à Dashboard do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</si>
</sst>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Planilha1!$L$1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Planilha1!$K$2:$K$5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Total</c:v>
                </c:pt>
              </c:strCache>
            </c:strRef>
          </c:cat>
          <c:val>
            <c:numRef>
              <c:f>Planilha1!$L$2:$L$5</c:f>
              <c:numCache>
                <c:formatCode>General</c:formatCode>
                <c:ptCount val="4"/>
                <c:pt idx="0">
                  <c:v>53</c:v>
                </c:pt>
                <c:pt idx="1">
                  <c:v>68</c:v>
                </c:pt>
                <c:pt idx="2">
                  <c:v>78</c:v>
                </c:pt>
                <c:pt idx="3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B-44B7-A232-2C56D382DAAE}"/>
            </c:ext>
          </c:extLst>
        </c:ser>
        <c:ser>
          <c:idx val="1"/>
          <c:order val="1"/>
          <c:tx>
            <c:strRef>
              <c:f>Planilha1!$M$1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Planilha1!$K$2:$K$5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Total</c:v>
                </c:pt>
              </c:strCache>
            </c:strRef>
          </c:cat>
          <c:val>
            <c:numRef>
              <c:f>Planilha1!$M$2:$M$5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B-44B7-A232-2C56D382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985223"/>
        <c:axId val="502987271"/>
      </c:lineChart>
      <c:catAx>
        <c:axId val="502985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87271"/>
        <c:crosses val="autoZero"/>
        <c:auto val="1"/>
        <c:lblAlgn val="ctr"/>
        <c:lblOffset val="100"/>
        <c:noMultiLvlLbl val="0"/>
      </c:catAx>
      <c:valAx>
        <c:axId val="502987271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8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10</xdr:row>
      <xdr:rowOff>180975</xdr:rowOff>
    </xdr:from>
    <xdr:to>
      <xdr:col>15</xdr:col>
      <xdr:colOff>590550</xdr:colOff>
      <xdr:row>30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58CE17-47BC-53DC-E617-5A6FF499E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M18"/>
  <sheetViews>
    <sheetView tabSelected="1" workbookViewId="0">
      <selection activeCell="I6" sqref="I6"/>
    </sheetView>
  </sheetViews>
  <sheetFormatPr defaultRowHeight="15"/>
  <cols>
    <col min="2" max="2" width="49.85546875" customWidth="1"/>
    <col min="3" max="3" width="81.28515625" customWidth="1"/>
    <col min="4" max="4" width="16.28515625" bestFit="1" customWidth="1"/>
    <col min="5" max="5" width="10.5703125" bestFit="1" customWidth="1"/>
    <col min="6" max="6" width="7.42578125" bestFit="1" customWidth="1"/>
    <col min="7" max="7" width="12.7109375" bestFit="1" customWidth="1"/>
    <col min="8" max="8" width="7.7109375" bestFit="1" customWidth="1"/>
    <col min="9" max="10" width="12.28515625" bestFit="1" customWidth="1"/>
    <col min="12" max="12" width="11.28515625" bestFit="1" customWidth="1"/>
    <col min="13" max="13" width="11" bestFit="1" customWidth="1"/>
  </cols>
  <sheetData>
    <row r="1" spans="2:13" ht="15.7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7" t="s">
        <v>6</v>
      </c>
      <c r="L1" s="7" t="s">
        <v>8</v>
      </c>
      <c r="M1" s="8" t="s">
        <v>9</v>
      </c>
    </row>
    <row r="2" spans="2:13">
      <c r="B2" s="5" t="s">
        <v>10</v>
      </c>
      <c r="C2" s="5" t="s">
        <v>11</v>
      </c>
      <c r="D2" s="5" t="s">
        <v>12</v>
      </c>
      <c r="E2" s="5" t="s">
        <v>13</v>
      </c>
      <c r="F2" s="5">
        <v>3</v>
      </c>
      <c r="G2" s="5">
        <v>1</v>
      </c>
      <c r="H2" s="5" t="s">
        <v>14</v>
      </c>
      <c r="I2" s="6" t="b">
        <v>1</v>
      </c>
      <c r="K2" s="1" t="s">
        <v>14</v>
      </c>
      <c r="L2" s="1">
        <f>SUMIF($H:$H,K2,$F:$F)</f>
        <v>53</v>
      </c>
      <c r="M2" s="3">
        <f>SUMIFS($F:$F, $H:$H, K2, $I:$I, "VERDADEIRO")</f>
        <v>9</v>
      </c>
    </row>
    <row r="3" spans="2:13">
      <c r="B3" s="1" t="s">
        <v>15</v>
      </c>
      <c r="C3" s="3" t="s">
        <v>16</v>
      </c>
      <c r="D3" s="1" t="s">
        <v>12</v>
      </c>
      <c r="E3" s="1" t="s">
        <v>17</v>
      </c>
      <c r="F3" s="1">
        <v>5</v>
      </c>
      <c r="G3" s="1">
        <v>1</v>
      </c>
      <c r="H3" s="1" t="s">
        <v>14</v>
      </c>
      <c r="I3" s="2" t="b">
        <v>0</v>
      </c>
      <c r="K3" s="1" t="s">
        <v>18</v>
      </c>
      <c r="L3" s="1">
        <f>SUMIF($H:$H,K3,$F:$F)</f>
        <v>68</v>
      </c>
      <c r="M3" s="1">
        <f>SUMIFS($F:$F, $H:$H, K3, $I:$I, "VERDADEIRO")</f>
        <v>0</v>
      </c>
    </row>
    <row r="4" spans="2:13">
      <c r="B4" s="1" t="s">
        <v>19</v>
      </c>
      <c r="C4" s="3" t="s">
        <v>20</v>
      </c>
      <c r="D4" s="1" t="s">
        <v>12</v>
      </c>
      <c r="E4" s="1" t="s">
        <v>21</v>
      </c>
      <c r="F4" s="1">
        <v>13</v>
      </c>
      <c r="G4" s="1">
        <v>1</v>
      </c>
      <c r="H4" s="1" t="s">
        <v>14</v>
      </c>
      <c r="I4" s="2" t="b">
        <v>0</v>
      </c>
      <c r="K4" s="1" t="s">
        <v>22</v>
      </c>
      <c r="L4" s="1">
        <f>SUMIF($H:$H,K4,$F:$F)</f>
        <v>78</v>
      </c>
      <c r="M4" s="1">
        <f>SUMIFS($F:$F, $H:$H, K4, $I:$I, "VERDADEIRO")</f>
        <v>0</v>
      </c>
    </row>
    <row r="5" spans="2:13">
      <c r="B5" s="1" t="s">
        <v>23</v>
      </c>
      <c r="C5" s="3" t="s">
        <v>24</v>
      </c>
      <c r="D5" s="1" t="s">
        <v>12</v>
      </c>
      <c r="E5" s="1" t="s">
        <v>13</v>
      </c>
      <c r="F5" s="1">
        <v>3</v>
      </c>
      <c r="G5" s="1">
        <v>1</v>
      </c>
      <c r="H5" s="1" t="s">
        <v>14</v>
      </c>
      <c r="I5" s="2" t="b">
        <v>1</v>
      </c>
      <c r="K5" s="1" t="s">
        <v>25</v>
      </c>
      <c r="L5" s="1">
        <f>SUM(L2:L4)</f>
        <v>199</v>
      </c>
      <c r="M5" s="1">
        <f>SUM(M2:M4)</f>
        <v>9</v>
      </c>
    </row>
    <row r="6" spans="2:13">
      <c r="B6" s="1" t="s">
        <v>26</v>
      </c>
      <c r="C6" s="1" t="s">
        <v>27</v>
      </c>
      <c r="D6" s="1" t="s">
        <v>12</v>
      </c>
      <c r="E6" s="1" t="s">
        <v>13</v>
      </c>
      <c r="F6" s="1">
        <v>3</v>
      </c>
      <c r="G6" s="1">
        <v>1</v>
      </c>
      <c r="H6" s="1" t="s">
        <v>14</v>
      </c>
      <c r="I6" s="2" t="b">
        <v>1</v>
      </c>
    </row>
    <row r="7" spans="2:13" hidden="1">
      <c r="B7" s="1" t="s">
        <v>28</v>
      </c>
      <c r="C7" s="3" t="s">
        <v>29</v>
      </c>
      <c r="D7" s="1" t="s">
        <v>12</v>
      </c>
      <c r="E7" s="1" t="s">
        <v>30</v>
      </c>
      <c r="F7" s="1">
        <v>21</v>
      </c>
      <c r="G7" s="1">
        <v>1</v>
      </c>
      <c r="H7" s="1" t="s">
        <v>22</v>
      </c>
      <c r="I7" s="2" t="b">
        <v>0</v>
      </c>
    </row>
    <row r="8" spans="2:13" hidden="1">
      <c r="B8" s="1" t="s">
        <v>31</v>
      </c>
      <c r="C8" s="3" t="s">
        <v>32</v>
      </c>
      <c r="D8" s="1" t="s">
        <v>12</v>
      </c>
      <c r="E8" s="1" t="s">
        <v>17</v>
      </c>
      <c r="F8" s="1">
        <v>5</v>
      </c>
      <c r="G8" s="1">
        <v>2</v>
      </c>
      <c r="H8" s="1" t="s">
        <v>22</v>
      </c>
      <c r="I8" s="2" t="b">
        <v>0</v>
      </c>
    </row>
    <row r="9" spans="2:13" hidden="1">
      <c r="B9" s="1" t="s">
        <v>33</v>
      </c>
      <c r="C9" s="3" t="s">
        <v>34</v>
      </c>
      <c r="D9" s="1" t="s">
        <v>12</v>
      </c>
      <c r="E9" s="1" t="s">
        <v>21</v>
      </c>
      <c r="F9" s="1">
        <v>13</v>
      </c>
      <c r="G9" s="1">
        <v>1</v>
      </c>
      <c r="H9" s="1" t="s">
        <v>18</v>
      </c>
      <c r="I9" s="2" t="b">
        <v>0</v>
      </c>
    </row>
    <row r="10" spans="2:13">
      <c r="B10" s="1" t="s">
        <v>35</v>
      </c>
      <c r="C10" s="3" t="s">
        <v>36</v>
      </c>
      <c r="D10" s="1" t="s">
        <v>12</v>
      </c>
      <c r="E10" s="1" t="s">
        <v>21</v>
      </c>
      <c r="F10" s="1">
        <v>13</v>
      </c>
      <c r="G10" s="1">
        <v>2</v>
      </c>
      <c r="H10" s="1" t="s">
        <v>14</v>
      </c>
      <c r="I10" s="2" t="b">
        <v>0</v>
      </c>
    </row>
    <row r="11" spans="2:13">
      <c r="B11" s="1" t="s">
        <v>37</v>
      </c>
      <c r="C11" s="3" t="s">
        <v>38</v>
      </c>
      <c r="D11" s="1" t="s">
        <v>12</v>
      </c>
      <c r="E11" s="1" t="s">
        <v>21</v>
      </c>
      <c r="F11" s="1">
        <v>13</v>
      </c>
      <c r="G11" s="1">
        <v>2</v>
      </c>
      <c r="H11" s="1" t="s">
        <v>14</v>
      </c>
      <c r="I11" s="2" t="b">
        <v>0</v>
      </c>
    </row>
    <row r="12" spans="2:13" hidden="1">
      <c r="B12" s="1" t="s">
        <v>39</v>
      </c>
      <c r="C12" s="3" t="s">
        <v>40</v>
      </c>
      <c r="D12" s="1" t="s">
        <v>12</v>
      </c>
      <c r="E12" s="1" t="s">
        <v>21</v>
      </c>
      <c r="F12" s="1">
        <v>13</v>
      </c>
      <c r="G12" s="1">
        <v>2</v>
      </c>
      <c r="H12" s="1" t="s">
        <v>18</v>
      </c>
      <c r="I12" s="2" t="b">
        <v>0</v>
      </c>
    </row>
    <row r="13" spans="2:13" hidden="1">
      <c r="B13" s="1" t="s">
        <v>41</v>
      </c>
      <c r="C13" s="3" t="s">
        <v>42</v>
      </c>
      <c r="D13" s="1" t="s">
        <v>12</v>
      </c>
      <c r="E13" s="1" t="s">
        <v>30</v>
      </c>
      <c r="F13" s="1">
        <v>21</v>
      </c>
      <c r="G13" s="1">
        <v>1</v>
      </c>
      <c r="H13" s="1" t="s">
        <v>18</v>
      </c>
      <c r="I13" s="2" t="b">
        <v>0</v>
      </c>
    </row>
    <row r="14" spans="2:13" hidden="1">
      <c r="B14" s="1" t="s">
        <v>43</v>
      </c>
      <c r="C14" s="3" t="s">
        <v>44</v>
      </c>
      <c r="D14" s="1" t="s">
        <v>45</v>
      </c>
      <c r="E14" s="1" t="s">
        <v>30</v>
      </c>
      <c r="F14" s="1">
        <v>21</v>
      </c>
      <c r="G14" s="1">
        <v>3</v>
      </c>
      <c r="H14" s="1" t="s">
        <v>22</v>
      </c>
      <c r="I14" s="2" t="b">
        <v>0</v>
      </c>
    </row>
    <row r="15" spans="2:13" hidden="1">
      <c r="B15" s="1" t="s">
        <v>46</v>
      </c>
      <c r="C15" s="1" t="s">
        <v>47</v>
      </c>
      <c r="D15" s="1" t="s">
        <v>48</v>
      </c>
      <c r="E15" s="1" t="s">
        <v>30</v>
      </c>
      <c r="F15" s="1">
        <v>21</v>
      </c>
      <c r="G15" s="1">
        <v>3</v>
      </c>
      <c r="H15" s="1" t="s">
        <v>22</v>
      </c>
      <c r="I15" s="2" t="b">
        <v>0</v>
      </c>
    </row>
    <row r="16" spans="2:13" hidden="1">
      <c r="B16" s="1" t="s">
        <v>49</v>
      </c>
      <c r="C16" s="3" t="s">
        <v>50</v>
      </c>
      <c r="D16" s="1" t="s">
        <v>12</v>
      </c>
      <c r="E16" s="1" t="s">
        <v>17</v>
      </c>
      <c r="F16" s="1">
        <v>5</v>
      </c>
      <c r="G16" s="1">
        <v>3</v>
      </c>
      <c r="H16" s="1" t="s">
        <v>22</v>
      </c>
      <c r="I16" s="2" t="b">
        <v>0</v>
      </c>
    </row>
    <row r="17" spans="2:9" hidden="1">
      <c r="B17" s="1" t="s">
        <v>51</v>
      </c>
      <c r="C17" s="3" t="s">
        <v>52</v>
      </c>
      <c r="D17" s="1" t="s">
        <v>12</v>
      </c>
      <c r="E17" s="1" t="s">
        <v>17</v>
      </c>
      <c r="F17" s="1">
        <v>5</v>
      </c>
      <c r="G17" s="1">
        <v>3</v>
      </c>
      <c r="H17" s="1" t="s">
        <v>22</v>
      </c>
      <c r="I17" s="2" t="b">
        <v>0</v>
      </c>
    </row>
    <row r="18" spans="2:9" ht="18.75" hidden="1" customHeight="1">
      <c r="B18" s="1" t="s">
        <v>53</v>
      </c>
      <c r="C18" s="3" t="s">
        <v>54</v>
      </c>
      <c r="D18" s="1" t="s">
        <v>12</v>
      </c>
      <c r="E18" s="1" t="s">
        <v>30</v>
      </c>
      <c r="F18" s="1">
        <v>21</v>
      </c>
      <c r="G18" s="1">
        <v>1</v>
      </c>
      <c r="H18" s="1" t="s">
        <v>18</v>
      </c>
      <c r="I18" s="2" t="b">
        <v>0</v>
      </c>
    </row>
  </sheetData>
  <autoFilter ref="B1:M18" xr:uid="{00000000-0001-0000-0000-000000000000}">
    <filterColumn colId="6">
      <filters>
        <filter val="Sprint 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2025-10-31T14:40:39Z</dcterms:created>
  <dcterms:modified xsi:type="dcterms:W3CDTF">2025-11-01T18:24:57Z</dcterms:modified>
  <cp:category/>
  <cp:contentStatus/>
</cp:coreProperties>
</file>